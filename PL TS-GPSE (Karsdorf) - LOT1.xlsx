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ed ALKassas\AppData\Local\Microsoft\Windows\INetCache\Content.Outlook\SH4JPQIR\"/>
    </mc:Choice>
  </mc:AlternateContent>
  <xr:revisionPtr revIDLastSave="0" documentId="13_ncr:1_{6CF9BE16-330C-4A1F-B399-B4802F521ECF}" xr6:coauthVersionLast="47" xr6:coauthVersionMax="47" xr10:uidLastSave="{00000000-0000-0000-0000-000000000000}"/>
  <bookViews>
    <workbookView xWindow="-120" yWindow="-120" windowWidth="29040" windowHeight="15720" xr2:uid="{7CEA25B2-120F-4E88-9E75-C7CB96E0E5BF}"/>
  </bookViews>
  <sheets>
    <sheet name="Tabelle1" sheetId="1" r:id="rId1"/>
  </sheets>
  <definedNames>
    <definedName name="_xlnm.Print_Area" localSheetId="0">Tabelle1!$A$1:$N$14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" i="1" l="1"/>
  <c r="J8" i="1"/>
  <c r="K8" i="1"/>
  <c r="N8" i="1" s="1"/>
  <c r="J9" i="1"/>
  <c r="K9" i="1"/>
  <c r="J10" i="1"/>
  <c r="K10" i="1"/>
  <c r="L10" i="1" s="1"/>
  <c r="M10" i="1" s="1"/>
  <c r="J11" i="1"/>
  <c r="K11" i="1"/>
  <c r="J12" i="1"/>
  <c r="K12" i="1"/>
  <c r="N12" i="1" s="1"/>
  <c r="J13" i="1"/>
  <c r="K13" i="1"/>
  <c r="L13" i="1"/>
  <c r="J7" i="1"/>
  <c r="K7" i="1"/>
  <c r="K6" i="1"/>
  <c r="L6" i="1" s="1"/>
  <c r="J6" i="1"/>
  <c r="M6" i="1" l="1"/>
  <c r="N13" i="1"/>
  <c r="L11" i="1"/>
  <c r="N11" i="1"/>
  <c r="M13" i="1"/>
  <c r="M11" i="1"/>
  <c r="J14" i="1"/>
  <c r="N9" i="1"/>
  <c r="L9" i="1"/>
  <c r="M9" i="1" s="1"/>
  <c r="L7" i="1"/>
  <c r="M7" i="1" s="1"/>
  <c r="N7" i="1"/>
  <c r="N6" i="1"/>
  <c r="L12" i="1"/>
  <c r="M12" i="1" s="1"/>
  <c r="N10" i="1"/>
  <c r="L8" i="1"/>
  <c r="M8" i="1" s="1"/>
  <c r="M14" i="1" l="1"/>
  <c r="L14" i="1"/>
</calcChain>
</file>

<file path=xl/sharedStrings.xml><?xml version="1.0" encoding="utf-8"?>
<sst xmlns="http://schemas.openxmlformats.org/spreadsheetml/2006/main" count="49" uniqueCount="33">
  <si>
    <t>ITEM</t>
  </si>
  <si>
    <t>NO</t>
  </si>
  <si>
    <t>QTY</t>
  </si>
  <si>
    <t>DESCRIPTION</t>
  </si>
  <si>
    <t>PACK</t>
  </si>
  <si>
    <t>TYPE</t>
  </si>
  <si>
    <t>DIMENSIONS IN CM</t>
  </si>
  <si>
    <t>W</t>
  </si>
  <si>
    <t>H</t>
  </si>
  <si>
    <t xml:space="preserve">L </t>
  </si>
  <si>
    <t>WEIGHT</t>
  </si>
  <si>
    <t>KG</t>
  </si>
  <si>
    <t>VOLUME</t>
  </si>
  <si>
    <t>CBM</t>
  </si>
  <si>
    <t xml:space="preserve">TOTAL </t>
  </si>
  <si>
    <t>TOTAL</t>
  </si>
  <si>
    <t>TONS</t>
  </si>
  <si>
    <t>MEAS.</t>
  </si>
  <si>
    <t>RATIO</t>
  </si>
  <si>
    <t>EMS LOG GMBH, BREMEN</t>
  </si>
  <si>
    <t>unpacked</t>
  </si>
  <si>
    <t>FREIGHT</t>
  </si>
  <si>
    <t>STACK</t>
  </si>
  <si>
    <t>ABLE</t>
  </si>
  <si>
    <t>Duct DU 04 - part 1, Draw. 130-0</t>
  </si>
  <si>
    <t>Duct DU 04 - part 2, Draw. 131-0</t>
  </si>
  <si>
    <t>Duct DU 04 - part 3, Draw. 132-0</t>
  </si>
  <si>
    <t>Duct DU 04 - part 4, Draw. 133-0</t>
  </si>
  <si>
    <t>Part 1 of Fan housing</t>
  </si>
  <si>
    <t>Part 2 of Fan housing</t>
  </si>
  <si>
    <t>Part 3 of Fan housing</t>
  </si>
  <si>
    <t>Part 4 of Fan housing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</si>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</sst>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49" fontId="1" fillId="0" borderId="1" xfId="0" applyNumberFormat="1" applyFont="1" applyBorder="1"/>
    <xf numFmtId="49" fontId="1" fillId="0" borderId="0" xfId="0" applyNumberFormat="1" applyFont="1"/>
    <xf numFmtId="1" fontId="1" fillId="0" borderId="1" xfId="0" applyNumberFormat="1" applyFont="1" applyBorder="1"/>
    <xf numFmtId="1" fontId="1" fillId="0" borderId="0" xfId="0" applyNumberFormat="1" applyFont="1"/>
    <xf numFmtId="3" fontId="1" fillId="0" borderId="1" xfId="0" applyNumberFormat="1" applyFont="1" applyBorder="1"/>
    <xf numFmtId="3" fontId="1" fillId="0" borderId="0" xfId="0" applyNumberFormat="1" applyFont="1"/>
    <xf numFmtId="164" fontId="1" fillId="0" borderId="1" xfId="0" applyNumberFormat="1" applyFont="1" applyBorder="1"/>
    <xf numFmtId="164" fontId="1" fillId="0" borderId="0" xfId="0" applyNumberFormat="1" applyFont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2" fontId="1" fillId="0" borderId="4" xfId="0" applyNumberFormat="1" applyFont="1" applyBorder="1"/>
    <xf numFmtId="2" fontId="1" fillId="0" borderId="6" xfId="0" applyNumberFormat="1" applyFont="1" applyBorder="1"/>
    <xf numFmtId="1" fontId="3" fillId="0" borderId="9" xfId="0" applyNumberFormat="1" applyFont="1" applyBorder="1" applyAlignment="1">
      <alignment horizontal="center"/>
    </xf>
    <xf numFmtId="49" fontId="3" fillId="0" borderId="10" xfId="0" applyNumberFormat="1" applyFont="1" applyBorder="1"/>
    <xf numFmtId="1" fontId="3" fillId="0" borderId="10" xfId="0" applyNumberFormat="1" applyFont="1" applyBorder="1"/>
    <xf numFmtId="3" fontId="3" fillId="0" borderId="10" xfId="0" applyNumberFormat="1" applyFont="1" applyBorder="1"/>
    <xf numFmtId="164" fontId="3" fillId="0" borderId="10" xfId="0" applyNumberFormat="1" applyFont="1" applyBorder="1"/>
    <xf numFmtId="165" fontId="3" fillId="0" borderId="11" xfId="0" applyNumberFormat="1" applyFont="1" applyBorder="1"/>
    <xf numFmtId="49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3" fontId="4" fillId="0" borderId="1" xfId="0" applyNumberFormat="1" applyFont="1" applyBorder="1" applyAlignment="1">
      <alignment horizontal="right"/>
    </xf>
    <xf numFmtId="0" fontId="4" fillId="0" borderId="0" xfId="0" applyFont="1"/>
    <xf numFmtId="3" fontId="4" fillId="0" borderId="0" xfId="0" applyNumberFormat="1" applyFont="1"/>
    <xf numFmtId="0" fontId="5" fillId="0" borderId="0" xfId="0" applyFont="1"/>
    <xf numFmtId="3" fontId="5" fillId="0" borderId="0" xfId="0" applyNumberFormat="1" applyFont="1"/>
    <xf numFmtId="0" fontId="6" fillId="0" borderId="1" xfId="0" applyFont="1" applyBorder="1" applyAlignment="1">
      <alignment horizontal="right"/>
    </xf>
    <xf numFmtId="0" fontId="7" fillId="0" borderId="1" xfId="0" applyFont="1" applyBorder="1" applyAlignment="1">
      <alignment horizontal="right"/>
    </xf>
    <xf numFmtId="0" fontId="7" fillId="0" borderId="0" xfId="0" applyFont="1"/>
    <xf numFmtId="0" fontId="6" fillId="0" borderId="0" xfId="0" applyFont="1"/>
    <xf numFmtId="0" fontId="1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104142</xdr:colOff>
      <xdr:row>0</xdr:row>
      <xdr:rowOff>32846</xdr:rowOff>
    </xdr:from>
    <xdr:to>
      <xdr:col>1</xdr:col>
      <xdr:colOff>630621</xdr:colOff>
      <xdr:row>2</xdr:row>
      <xdr:rowOff>190500</xdr:rowOff>
    </xdr:to>
    <xdr:pic>
      <xdr:nvPicPr>
        <xdr:cNvPr id="2" name="Bild 26" descr="EMS Log">
          <a:extLst>
            <a:ext uri="{FF2B5EF4-FFF2-40B4-BE49-F238E27FC236}">
              <a16:creationId xmlns:a16="http://schemas.microsoft.com/office/drawing/2014/main" id="{52F43EB2-6C63-4F3E-A412-ED29ED96E3AC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l="4761" b="8005"/>
        <a:stretch>
          <a:fillRect/>
        </a:stretch>
      </xdr:blipFill>
      <xdr:spPr bwMode="auto">
        <a:xfrm>
          <a:off x="104142" y="32846"/>
          <a:ext cx="907479" cy="5912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4D306-56A8-4266-AD3A-74601047BA2F}">
  <sheetPr>
    <pageSetUpPr fitToPage="1"/>
  </sheetPr>
  <dimension ref="A1:N14"/>
  <sheetViews>
    <sheetView tabSelected="1" view="pageBreakPreview" zoomScale="115" zoomScaleNormal="115" zoomScaleSheetLayoutView="115" workbookViewId="0">
      <selection activeCell="E24" sqref="E24"/>
    </sheetView>
  </sheetViews>
  <sheetFormatPr defaultColWidth="11.42578125" defaultRowHeight="12.75" x14ac:dyDescent="0.2"/>
  <cols>
    <col min="1" max="1" width="5.7109375" style="1" customWidth="1"/>
    <col min="2" max="2" width="22.85546875" style="1" customWidth="1"/>
    <col min="3" max="3" width="8.5703125" style="1" bestFit="1" customWidth="1"/>
    <col min="4" max="4" width="5.7109375" style="1" customWidth="1"/>
    <col min="5" max="8" width="4" style="1" bestFit="1" customWidth="1"/>
    <col min="9" max="9" width="7.28515625" style="1" bestFit="1" customWidth="1"/>
    <col min="10" max="10" width="6.42578125" style="1" bestFit="1" customWidth="1"/>
    <col min="11" max="13" width="11.42578125" style="1" customWidth="1"/>
    <col min="14" max="14" width="6.85546875" style="1" bestFit="1" customWidth="1"/>
    <col min="15" max="16384" width="11.42578125" style="1"/>
  </cols>
  <sheetData>
    <row r="1" spans="1:14" ht="17.25" customHeight="1" x14ac:dyDescent="0.2">
      <c r="A1" s="40" t="s">
        <v>19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2"/>
    </row>
    <row r="2" spans="1:14" ht="17.25" customHeight="1" x14ac:dyDescent="0.2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5"/>
    </row>
    <row r="3" spans="1:14" ht="17.25" customHeight="1" thickBot="1" x14ac:dyDescent="0.25">
      <c r="A3" s="46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8"/>
    </row>
    <row r="4" spans="1:14" x14ac:dyDescent="0.2">
      <c r="A4" s="12" t="s">
        <v>0</v>
      </c>
      <c r="B4" s="2" t="s">
        <v>3</v>
      </c>
      <c r="C4" s="2" t="s">
        <v>4</v>
      </c>
      <c r="D4" s="2" t="s">
        <v>22</v>
      </c>
      <c r="E4" s="2" t="s">
        <v>2</v>
      </c>
      <c r="F4" s="39" t="s">
        <v>6</v>
      </c>
      <c r="G4" s="39"/>
      <c r="H4" s="39"/>
      <c r="I4" s="2" t="s">
        <v>10</v>
      </c>
      <c r="J4" s="2" t="s">
        <v>15</v>
      </c>
      <c r="K4" s="2" t="s">
        <v>12</v>
      </c>
      <c r="L4" s="2" t="s">
        <v>14</v>
      </c>
      <c r="M4" s="2" t="s">
        <v>21</v>
      </c>
      <c r="N4" s="13" t="s">
        <v>17</v>
      </c>
    </row>
    <row r="5" spans="1:14" ht="13.5" thickBot="1" x14ac:dyDescent="0.25">
      <c r="A5" s="14" t="s">
        <v>1</v>
      </c>
      <c r="B5" s="3"/>
      <c r="C5" s="3" t="s">
        <v>5</v>
      </c>
      <c r="D5" s="3" t="s">
        <v>23</v>
      </c>
      <c r="E5" s="3"/>
      <c r="F5" s="3" t="s">
        <v>9</v>
      </c>
      <c r="G5" s="3" t="s">
        <v>7</v>
      </c>
      <c r="H5" s="3" t="s">
        <v>8</v>
      </c>
      <c r="I5" s="3" t="s">
        <v>11</v>
      </c>
      <c r="J5" s="3" t="s">
        <v>11</v>
      </c>
      <c r="K5" s="3" t="s">
        <v>13</v>
      </c>
      <c r="L5" s="3" t="s">
        <v>13</v>
      </c>
      <c r="M5" s="3" t="s">
        <v>16</v>
      </c>
      <c r="N5" s="15" t="s">
        <v>18</v>
      </c>
    </row>
    <row r="6" spans="1:14" x14ac:dyDescent="0.2">
      <c r="A6" s="25">
        <v>1</v>
      </c>
      <c r="B6" s="28" t="s">
        <v>24</v>
      </c>
      <c r="C6" s="4" t="s">
        <v>20</v>
      </c>
      <c r="D6" s="24" t="s">
        <v>32</v>
      </c>
      <c r="E6" s="6">
        <v>1</v>
      </c>
      <c r="F6" s="29">
        <v>350</v>
      </c>
      <c r="G6" s="35">
        <v>380</v>
      </c>
      <c r="H6" s="36">
        <v>300</v>
      </c>
      <c r="I6" s="30">
        <v>2660</v>
      </c>
      <c r="J6" s="8">
        <f>E6*I6</f>
        <v>2660</v>
      </c>
      <c r="K6" s="10">
        <f>(F6*G6*H6)/1000000</f>
        <v>39.9</v>
      </c>
      <c r="L6" s="10">
        <f>K6*E6</f>
        <v>39.9</v>
      </c>
      <c r="M6" s="11">
        <f t="shared" ref="M6:M9" si="0">MAX((J6/1000),L6)</f>
        <v>39.9</v>
      </c>
      <c r="N6" s="16">
        <f>K6/(I6/1000)</f>
        <v>14.999999999999998</v>
      </c>
    </row>
    <row r="7" spans="1:14" x14ac:dyDescent="0.2">
      <c r="A7" s="26">
        <v>2</v>
      </c>
      <c r="B7" s="31" t="s">
        <v>25</v>
      </c>
      <c r="C7" s="5" t="s">
        <v>20</v>
      </c>
      <c r="D7" s="27" t="s">
        <v>32</v>
      </c>
      <c r="E7" s="7">
        <v>1</v>
      </c>
      <c r="F7" s="31">
        <v>410</v>
      </c>
      <c r="G7" s="37">
        <v>340</v>
      </c>
      <c r="H7" s="37">
        <v>340</v>
      </c>
      <c r="I7" s="32">
        <v>3650</v>
      </c>
      <c r="J7" s="9">
        <f>E7*I7</f>
        <v>3650</v>
      </c>
      <c r="K7" s="11">
        <f>(F7*G7*H7)/1000000</f>
        <v>47.396000000000001</v>
      </c>
      <c r="L7" s="11">
        <f>K7*E7</f>
        <v>47.396000000000001</v>
      </c>
      <c r="M7" s="11">
        <f t="shared" si="0"/>
        <v>47.396000000000001</v>
      </c>
      <c r="N7" s="17">
        <f>K7/(I7/1000)</f>
        <v>12.985205479452055</v>
      </c>
    </row>
    <row r="8" spans="1:14" x14ac:dyDescent="0.2">
      <c r="A8" s="26">
        <v>3</v>
      </c>
      <c r="B8" s="31" t="s">
        <v>26</v>
      </c>
      <c r="C8" s="5" t="s">
        <v>20</v>
      </c>
      <c r="D8" s="27" t="s">
        <v>32</v>
      </c>
      <c r="E8" s="7">
        <v>1</v>
      </c>
      <c r="F8" s="31">
        <v>970</v>
      </c>
      <c r="G8" s="37">
        <v>370</v>
      </c>
      <c r="H8" s="37">
        <v>360</v>
      </c>
      <c r="I8" s="32">
        <v>7050</v>
      </c>
      <c r="J8" s="9">
        <f t="shared" ref="J8:J13" si="1">E8*I8</f>
        <v>7050</v>
      </c>
      <c r="K8" s="11">
        <f t="shared" ref="K8:K13" si="2">(F8*G8*H8)/1000000</f>
        <v>129.20400000000001</v>
      </c>
      <c r="L8" s="11">
        <f t="shared" ref="L8:L13" si="3">K8*E8</f>
        <v>129.20400000000001</v>
      </c>
      <c r="M8" s="11">
        <f t="shared" si="0"/>
        <v>129.20400000000001</v>
      </c>
      <c r="N8" s="17">
        <f t="shared" ref="N8:N13" si="4">K8/(I8/1000)</f>
        <v>18.326808510638301</v>
      </c>
    </row>
    <row r="9" spans="1:14" x14ac:dyDescent="0.2">
      <c r="A9" s="26">
        <v>4</v>
      </c>
      <c r="B9" s="31" t="s">
        <v>27</v>
      </c>
      <c r="C9" s="5" t="s">
        <v>20</v>
      </c>
      <c r="D9" s="27" t="s">
        <v>32</v>
      </c>
      <c r="E9" s="7">
        <v>1</v>
      </c>
      <c r="F9" s="31">
        <v>300</v>
      </c>
      <c r="G9" s="31">
        <v>300</v>
      </c>
      <c r="H9" s="37">
        <v>320</v>
      </c>
      <c r="I9" s="32">
        <v>1810</v>
      </c>
      <c r="J9" s="9">
        <f t="shared" si="1"/>
        <v>1810</v>
      </c>
      <c r="K9" s="11">
        <f t="shared" si="2"/>
        <v>28.8</v>
      </c>
      <c r="L9" s="11">
        <f t="shared" si="3"/>
        <v>28.8</v>
      </c>
      <c r="M9" s="11">
        <f t="shared" si="0"/>
        <v>28.8</v>
      </c>
      <c r="N9" s="17">
        <f t="shared" si="4"/>
        <v>15.911602209944752</v>
      </c>
    </row>
    <row r="10" spans="1:14" x14ac:dyDescent="0.2">
      <c r="A10" s="26">
        <v>5</v>
      </c>
      <c r="B10" s="33" t="s">
        <v>28</v>
      </c>
      <c r="C10" s="5" t="s">
        <v>20</v>
      </c>
      <c r="D10" s="27" t="s">
        <v>32</v>
      </c>
      <c r="E10" s="7">
        <v>1</v>
      </c>
      <c r="F10" s="33">
        <v>335</v>
      </c>
      <c r="G10" s="38">
        <v>260</v>
      </c>
      <c r="H10" s="38">
        <v>325</v>
      </c>
      <c r="I10" s="34">
        <v>2850</v>
      </c>
      <c r="J10" s="9">
        <f t="shared" si="1"/>
        <v>2850</v>
      </c>
      <c r="K10" s="11">
        <f t="shared" si="2"/>
        <v>28.307500000000001</v>
      </c>
      <c r="L10" s="11">
        <f t="shared" si="3"/>
        <v>28.307500000000001</v>
      </c>
      <c r="M10" s="11">
        <f>MAX((J10/1000),L10)</f>
        <v>28.307500000000001</v>
      </c>
      <c r="N10" s="17">
        <f t="shared" si="4"/>
        <v>9.9324561403508778</v>
      </c>
    </row>
    <row r="11" spans="1:14" x14ac:dyDescent="0.2">
      <c r="A11" s="26">
        <v>6</v>
      </c>
      <c r="B11" s="33" t="s">
        <v>29</v>
      </c>
      <c r="C11" s="5" t="s">
        <v>20</v>
      </c>
      <c r="D11" s="27" t="s">
        <v>32</v>
      </c>
      <c r="E11" s="7">
        <v>1</v>
      </c>
      <c r="F11" s="33">
        <v>210</v>
      </c>
      <c r="G11" s="38">
        <v>326</v>
      </c>
      <c r="H11" s="38">
        <v>325</v>
      </c>
      <c r="I11" s="34">
        <v>2550</v>
      </c>
      <c r="J11" s="9">
        <f t="shared" si="1"/>
        <v>2550</v>
      </c>
      <c r="K11" s="11">
        <f t="shared" si="2"/>
        <v>22.249500000000001</v>
      </c>
      <c r="L11" s="11">
        <f t="shared" si="3"/>
        <v>22.249500000000001</v>
      </c>
      <c r="M11" s="11">
        <f t="shared" ref="M11:M13" si="5">MAX((J11/1000),L11)</f>
        <v>22.249500000000001</v>
      </c>
      <c r="N11" s="17">
        <f t="shared" si="4"/>
        <v>8.72529411764706</v>
      </c>
    </row>
    <row r="12" spans="1:14" x14ac:dyDescent="0.2">
      <c r="A12" s="26">
        <v>7</v>
      </c>
      <c r="B12" s="33" t="s">
        <v>30</v>
      </c>
      <c r="C12" s="5" t="s">
        <v>20</v>
      </c>
      <c r="D12" s="27" t="s">
        <v>32</v>
      </c>
      <c r="E12" s="7">
        <v>1</v>
      </c>
      <c r="F12" s="33">
        <v>235</v>
      </c>
      <c r="G12" s="33">
        <v>200</v>
      </c>
      <c r="H12" s="38">
        <v>325</v>
      </c>
      <c r="I12" s="34">
        <v>1550</v>
      </c>
      <c r="J12" s="9">
        <f t="shared" si="1"/>
        <v>1550</v>
      </c>
      <c r="K12" s="11">
        <f t="shared" si="2"/>
        <v>15.275</v>
      </c>
      <c r="L12" s="11">
        <f t="shared" si="3"/>
        <v>15.275</v>
      </c>
      <c r="M12" s="11">
        <f t="shared" si="5"/>
        <v>15.275</v>
      </c>
      <c r="N12" s="17">
        <f t="shared" si="4"/>
        <v>9.8548387096774199</v>
      </c>
    </row>
    <row r="13" spans="1:14" ht="13.5" thickBot="1" x14ac:dyDescent="0.25">
      <c r="A13" s="26">
        <v>8</v>
      </c>
      <c r="B13" s="33" t="s">
        <v>31</v>
      </c>
      <c r="C13" s="5" t="s">
        <v>20</v>
      </c>
      <c r="D13" s="27" t="s">
        <v>32</v>
      </c>
      <c r="E13" s="7">
        <v>1</v>
      </c>
      <c r="F13" s="33">
        <v>185</v>
      </c>
      <c r="G13" s="33">
        <v>200</v>
      </c>
      <c r="H13" s="38">
        <v>325</v>
      </c>
      <c r="I13" s="34">
        <v>1250</v>
      </c>
      <c r="J13" s="9">
        <f t="shared" si="1"/>
        <v>1250</v>
      </c>
      <c r="K13" s="11">
        <f t="shared" si="2"/>
        <v>12.025</v>
      </c>
      <c r="L13" s="11">
        <f t="shared" si="3"/>
        <v>12.025</v>
      </c>
      <c r="M13" s="11">
        <f t="shared" si="5"/>
        <v>12.025</v>
      </c>
      <c r="N13" s="17">
        <f t="shared" si="4"/>
        <v>9.620000000000001</v>
      </c>
    </row>
    <row r="14" spans="1:14" ht="13.5" thickBot="1" x14ac:dyDescent="0.25">
      <c r="A14" s="18"/>
      <c r="B14" s="19"/>
      <c r="C14" s="19"/>
      <c r="D14" s="19"/>
      <c r="E14" s="20">
        <f>SUM(E6:E13)</f>
        <v>8</v>
      </c>
      <c r="F14" s="20"/>
      <c r="G14" s="20"/>
      <c r="H14" s="20"/>
      <c r="I14" s="21"/>
      <c r="J14" s="21">
        <f>SUM(J6:J13)</f>
        <v>23370</v>
      </c>
      <c r="K14" s="22"/>
      <c r="L14" s="22">
        <f>SUM(L6:L13)</f>
        <v>323.15699999999998</v>
      </c>
      <c r="M14" s="22">
        <f>SUM(M6:M13)</f>
        <v>323.15699999999998</v>
      </c>
      <c r="N14" s="23"/>
    </row>
  </sheetData>
  <mergeCells count="2">
    <mergeCell ref="F4:H4"/>
    <mergeCell ref="A1:N3"/>
  </mergeCells>
  <printOptions gridLines="1"/>
  <pageMargins left="0.7" right="0.7" top="0.78740157499999996" bottom="0.78740157499999996" header="0.3" footer="0.3"/>
  <pageSetup paperSize="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Tabelle1</vt:lpstr>
      <vt:lpstr>Tabelle1!Print_Area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Malte Kronschewski</dc:creator>
  <cp:lastModifiedBy>Mohamed Al Kassas</cp:lastModifiedBy>
  <cp:lastPrinted>2019-06-25T09:01:42Z</cp:lastPrinted>
  <dcterms:created xsi:type="dcterms:W3CDTF">2019-06-25T07:08:20Z</dcterms:created>
  <dcterms:modified xsi:type="dcterms:W3CDTF">2026-07-05T11:44:27Z</dcterms:modified>
</cp:coreProperties>
</file>